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T\DSVCo\Directeur\SUIVI_LETTRE DE MISSION\"/>
    </mc:Choice>
  </mc:AlternateContent>
  <bookViews>
    <workbookView xWindow="0" yWindow="0" windowWidth="16380" windowHeight="8190" tabRatio="500" activeTab="2"/>
  </bookViews>
  <sheets>
    <sheet name="Tableau de bord S1" sheetId="1" r:id="rId1"/>
    <sheet name="Calendrier Échéances S1" sheetId="2" r:id="rId2"/>
    <sheet name="Suivi Mensuel S1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K15" i="3" s="1"/>
  <c r="K14" i="3"/>
  <c r="D14" i="3"/>
  <c r="K13" i="3"/>
  <c r="D13" i="3"/>
  <c r="K12" i="3"/>
  <c r="D12" i="3"/>
  <c r="K11" i="3"/>
  <c r="D11" i="3"/>
  <c r="K10" i="3"/>
  <c r="D10" i="3"/>
  <c r="K9" i="3"/>
  <c r="D9" i="3"/>
  <c r="K8" i="3"/>
  <c r="D8" i="3"/>
  <c r="D7" i="3"/>
  <c r="K7" i="3" s="1"/>
  <c r="K6" i="3"/>
  <c r="D6" i="3"/>
  <c r="K5" i="3"/>
  <c r="D5" i="3"/>
  <c r="K4" i="3"/>
  <c r="D4" i="3"/>
</calcChain>
</file>

<file path=xl/sharedStrings.xml><?xml version="1.0" encoding="utf-8"?>
<sst xmlns="http://schemas.openxmlformats.org/spreadsheetml/2006/main" count="231" uniqueCount="120">
  <si>
    <t>Direction de la Santé et de la Vaccination Communautaire</t>
  </si>
  <si>
    <t>Version : S1 2026</t>
  </si>
  <si>
    <t>Période de référence : Janvier – Juin 2026</t>
  </si>
  <si>
    <t>A.  ACTIVITÉS PRIORITAIRES</t>
  </si>
  <si>
    <t>N°</t>
  </si>
  <si>
    <t>Livrable</t>
  </si>
  <si>
    <t>Fréquence</t>
  </si>
  <si>
    <t>Cible S1 2026</t>
  </si>
  <si>
    <t>Jan</t>
  </si>
  <si>
    <t>Fév</t>
  </si>
  <si>
    <t>Mar</t>
  </si>
  <si>
    <t>Avr</t>
  </si>
  <si>
    <t>Mai</t>
  </si>
  <si>
    <t>Juin</t>
  </si>
  <si>
    <t>Statut / Observations</t>
  </si>
  <si>
    <t>Contrat objectif IRS-DPS</t>
  </si>
  <si>
    <t>Unique</t>
  </si>
  <si>
    <t>0 (échéance S2 – déjà réalisé en juillet)</t>
  </si>
  <si>
    <t>Comités Techniques Régionaux (CTRS)</t>
  </si>
  <si>
    <t>Semestriel</t>
  </si>
  <si>
    <t>1 rapport</t>
  </si>
  <si>
    <t>Rapport bimestriel SNIS consolidé</t>
  </si>
  <si>
    <t>Bimestriel</t>
  </si>
  <si>
    <t>2 rapports</t>
  </si>
  <si>
    <t>Rapport trimestriel utilisation fonds</t>
  </si>
  <si>
    <t>Trimestriel</t>
  </si>
  <si>
    <t>Réunions bimestrielles coordination DPS</t>
  </si>
  <si>
    <t>3 rapports</t>
  </si>
  <si>
    <t>Missions supervision intégrée trimestrielle</t>
  </si>
  <si>
    <t>Surveillance et réponse épidémique ≤48h</t>
  </si>
  <si>
    <t>Continu</t>
  </si>
  <si>
    <t>Rapports</t>
  </si>
  <si>
    <t>Missions inspection établissements</t>
  </si>
  <si>
    <t>PAO consolidé 2027</t>
  </si>
  <si>
    <t>0 (échéance S2 – fin d'année)</t>
  </si>
  <si>
    <t>Rapport annuel activités DSVCo</t>
  </si>
  <si>
    <t>B.  ACTIVITÉS DE GOUVERNANCE</t>
  </si>
  <si>
    <t>B1</t>
  </si>
  <si>
    <t>Traitement de dossiers</t>
  </si>
  <si>
    <t>Rapport mensuel</t>
  </si>
  <si>
    <t>B2</t>
  </si>
  <si>
    <t>Mise en œuvre recommandations</t>
  </si>
  <si>
    <t>100 %</t>
  </si>
  <si>
    <t>B3</t>
  </si>
  <si>
    <t>Réunions de suivi internes</t>
  </si>
  <si>
    <t>Hebdomadaire</t>
  </si>
  <si>
    <t>24 PV</t>
  </si>
  <si>
    <t>B4</t>
  </si>
  <si>
    <t>Rapports activités mensuels DSVCo</t>
  </si>
  <si>
    <t>Mensuel</t>
  </si>
  <si>
    <t>6 rapports</t>
  </si>
  <si>
    <t>B5</t>
  </si>
  <si>
    <t>Rapports activités mensuels DPS</t>
  </si>
  <si>
    <t>C.  AXES SPÉCIFIQUES — RÔLE DE SUPERVISEUR</t>
  </si>
  <si>
    <t>Axe stratégique</t>
  </si>
  <si>
    <t>Activités clés</t>
  </si>
  <si>
    <t>Outils / Supports</t>
  </si>
  <si>
    <t>C1</t>
  </si>
  <si>
    <t>Surveillance SIMR</t>
  </si>
  <si>
    <t>Bulletin hebdomadaire + détection signaux</t>
  </si>
  <si>
    <t>Bulletin hebdomadaire de surveillance et DHIS2</t>
  </si>
  <si>
    <t>C2</t>
  </si>
  <si>
    <t>Décès maternels</t>
  </si>
  <si>
    <t>Notification + Audit ADM + Recommandations</t>
  </si>
  <si>
    <t>Rapport des revues des décès</t>
  </si>
  <si>
    <t>C3</t>
  </si>
  <si>
    <t>Qualité des prestations</t>
  </si>
  <si>
    <t>Supervision formative FOSA + Grilles éval.</t>
  </si>
  <si>
    <t>Grille supervision</t>
  </si>
  <si>
    <t>C4</t>
  </si>
  <si>
    <t>Recherche opérationnelle</t>
  </si>
  <si>
    <t>Questions de recherche + Publications</t>
  </si>
  <si>
    <t>Protocoles / SNIS</t>
  </si>
  <si>
    <t>C5</t>
  </si>
  <si>
    <t>Suivi des livrables</t>
  </si>
  <si>
    <t>Tableau de bord mensuel + Rapport perf.</t>
  </si>
  <si>
    <t>Ce tableau de bord</t>
  </si>
  <si>
    <t>Mois</t>
  </si>
  <si>
    <t>Échéance</t>
  </si>
  <si>
    <t>Livrable attendu</t>
  </si>
  <si>
    <t>Responsable</t>
  </si>
  <si>
    <t>Statut</t>
  </si>
  <si>
    <t>Observations</t>
  </si>
  <si>
    <t>Janvier 2026</t>
  </si>
  <si>
    <t>Fin janvier</t>
  </si>
  <si>
    <t>Rapport mensuel DSVCo + DPS</t>
  </si>
  <si>
    <t>À vérifier</t>
  </si>
  <si>
    <t>Échéance antérieure – à confirmer rétroactivement</t>
  </si>
  <si>
    <t>PV réunions suivi interne × 4</t>
  </si>
  <si>
    <t>Février 2026</t>
  </si>
  <si>
    <t>Fin février</t>
  </si>
  <si>
    <t>Rapport bimestriel SNIS (Jan-Fév)</t>
  </si>
  <si>
    <t>Mars 2026</t>
  </si>
  <si>
    <t>Fin mars</t>
  </si>
  <si>
    <t>Rapport supervision trimestrielle (T1)</t>
  </si>
  <si>
    <t>Avril 2026</t>
  </si>
  <si>
    <t>Fin avril</t>
  </si>
  <si>
    <t>Rapport bimestriel SNIS (Mar-Avr)</t>
  </si>
  <si>
    <t>Mai 2026</t>
  </si>
  <si>
    <t>Fin mai</t>
  </si>
  <si>
    <t>Juin 2026</t>
  </si>
  <si>
    <t>Fin juin</t>
  </si>
  <si>
    <t>Rapport supervision trimestrielle (T2)</t>
  </si>
  <si>
    <t>Rapport bimestriel SNIS (Mai-Juin)</t>
  </si>
  <si>
    <t>Cumul S1</t>
  </si>
  <si>
    <t>% Réalisation</t>
  </si>
  <si>
    <t>Réunions de suivi internes (PV)</t>
  </si>
  <si>
    <t>Rapports mensuels DSVCo</t>
  </si>
  <si>
    <t>Rapports mensuels DPS</t>
  </si>
  <si>
    <t>ℹ️  Saisir les valeurs mensuelles réelles (rétroactives) dans les colonnes Jan–Juin. Les colonnes Cumul S1 et % Réalisation se calculent automatiquement. La Cible S1 2026 correspond à l'objectif propre au premier semestre (et non à la cible annuelle complète de la lettre de mission).</t>
  </si>
  <si>
    <t>TABLEAU DE BORD PERSONNEL DSVCo — S1 2026</t>
  </si>
  <si>
    <t>CALENDRIER DES ÉCHÉANCES CRITIQUES — S1 2026</t>
  </si>
  <si>
    <t>Rapport mensuel DSVCo + DCS</t>
  </si>
  <si>
    <t>PFR</t>
  </si>
  <si>
    <t>GDD</t>
  </si>
  <si>
    <t>Comptable</t>
  </si>
  <si>
    <t>CTRS semestriel (1er) (en cours de planification)</t>
  </si>
  <si>
    <t>Fin juillet</t>
  </si>
  <si>
    <t>Mission inspection établissements (semestrielle) encours planfi</t>
  </si>
  <si>
    <t xml:space="preserve">SUIVI MENSUEL DES PERFORMANCES — S1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</si>
</sst>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BDD7EE"/>
      <name val="Arial"/>
      <charset val="1"/>
    </font>
    <font>
      <b/>
      <sz val="10"/>
      <color rgb="FFFFE699"/>
      <name val="Arial"/>
      <charset val="1"/>
    </font>
    <font>
      <b/>
      <sz val="11"/>
      <color rgb="FFFFE699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i/>
      <sz val="9"/>
      <color rgb="FF85640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7375E"/>
        <bgColor rgb="FF1F3864"/>
      </patternFill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3CD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1" fillId="7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BFBFBF"/>
      <rgbColor rgb="FF808080"/>
      <rgbColor rgb="FF9999FF"/>
      <rgbColor rgb="FF993366"/>
      <rgbColor rgb="FFFFF3CD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8" zoomScaleNormal="100" workbookViewId="0">
      <selection activeCell="E19" sqref="E19"/>
    </sheetView>
  </sheetViews>
  <sheetFormatPr baseColWidth="10" defaultColWidth="8.6328125" defaultRowHeight="14.5" x14ac:dyDescent="0.35"/>
  <cols>
    <col min="1" max="1" width="5" style="8" customWidth="1"/>
    <col min="2" max="2" width="45" style="8" customWidth="1"/>
    <col min="3" max="3" width="22" style="8" customWidth="1"/>
    <col min="4" max="4" width="16" style="8" customWidth="1"/>
    <col min="5" max="10" width="8" style="8" customWidth="1"/>
    <col min="11" max="11" width="30" style="8" customWidth="1"/>
  </cols>
  <sheetData>
    <row r="1" spans="1:11" ht="39.75" customHeight="1" x14ac:dyDescent="0.35">
      <c r="A1" s="7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9.5" customHeight="1" x14ac:dyDescent="0.35">
      <c r="A2" s="6" t="s">
        <v>0</v>
      </c>
      <c r="B2" s="6"/>
      <c r="C2" s="6"/>
      <c r="D2" s="6"/>
      <c r="E2" s="5" t="s">
        <v>1</v>
      </c>
      <c r="F2" s="5"/>
      <c r="G2" s="4" t="s">
        <v>2</v>
      </c>
      <c r="H2" s="4"/>
      <c r="I2" s="4"/>
      <c r="J2" s="4"/>
      <c r="K2" s="4"/>
    </row>
    <row r="4" spans="1:11" ht="21.75" customHeight="1" x14ac:dyDescent="0.3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" customHeight="1" x14ac:dyDescent="0.35">
      <c r="A5" s="9" t="s">
        <v>4</v>
      </c>
      <c r="B5" s="9" t="s">
        <v>5</v>
      </c>
      <c r="C5" s="9" t="s">
        <v>6</v>
      </c>
      <c r="D5" s="9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9" t="s">
        <v>14</v>
      </c>
    </row>
    <row r="6" spans="1:11" ht="15" customHeight="1" x14ac:dyDescent="0.35">
      <c r="A6" s="11">
        <v>1</v>
      </c>
      <c r="B6" s="12" t="s">
        <v>15</v>
      </c>
      <c r="C6" s="12" t="s">
        <v>16</v>
      </c>
      <c r="D6" s="12" t="s">
        <v>17</v>
      </c>
      <c r="E6" s="12"/>
      <c r="F6" s="12"/>
      <c r="G6" s="12"/>
      <c r="H6" s="12"/>
      <c r="I6" s="12"/>
      <c r="J6" s="12"/>
      <c r="K6" s="12"/>
    </row>
    <row r="7" spans="1:11" ht="15" customHeight="1" x14ac:dyDescent="0.35">
      <c r="A7" s="11">
        <v>2</v>
      </c>
      <c r="B7" s="12" t="s">
        <v>18</v>
      </c>
      <c r="C7" s="12" t="s">
        <v>19</v>
      </c>
      <c r="D7" s="12" t="s">
        <v>20</v>
      </c>
      <c r="E7" s="12"/>
      <c r="F7" s="12"/>
      <c r="G7" s="12"/>
      <c r="H7" s="12"/>
      <c r="I7" s="12"/>
      <c r="J7" s="12"/>
      <c r="K7" s="12"/>
    </row>
    <row r="8" spans="1:11" ht="15" customHeight="1" x14ac:dyDescent="0.35">
      <c r="A8" s="11">
        <v>3</v>
      </c>
      <c r="B8" s="12" t="s">
        <v>21</v>
      </c>
      <c r="C8" s="12" t="s">
        <v>22</v>
      </c>
      <c r="D8" s="12" t="s">
        <v>23</v>
      </c>
      <c r="E8" s="12"/>
      <c r="F8" s="12"/>
      <c r="G8" s="12"/>
      <c r="H8" s="12"/>
      <c r="I8" s="12"/>
      <c r="J8" s="12"/>
      <c r="K8" s="12"/>
    </row>
    <row r="9" spans="1:11" ht="15" customHeight="1" x14ac:dyDescent="0.35">
      <c r="A9" s="11">
        <v>4</v>
      </c>
      <c r="B9" s="12" t="s">
        <v>24</v>
      </c>
      <c r="C9" s="12" t="s">
        <v>25</v>
      </c>
      <c r="D9" s="12" t="s">
        <v>23</v>
      </c>
      <c r="E9" s="12"/>
      <c r="F9" s="12"/>
      <c r="G9" s="12"/>
      <c r="H9" s="12"/>
      <c r="I9" s="12"/>
      <c r="J9" s="12"/>
      <c r="K9" s="12"/>
    </row>
    <row r="10" spans="1:11" ht="15" customHeight="1" x14ac:dyDescent="0.35">
      <c r="A10" s="11">
        <v>5</v>
      </c>
      <c r="B10" s="12" t="s">
        <v>26</v>
      </c>
      <c r="C10" s="12" t="s">
        <v>22</v>
      </c>
      <c r="D10" s="12" t="s">
        <v>27</v>
      </c>
      <c r="E10" s="12"/>
      <c r="F10" s="12"/>
      <c r="G10" s="12"/>
      <c r="H10" s="12"/>
      <c r="I10" s="12"/>
      <c r="J10" s="12"/>
      <c r="K10" s="12"/>
    </row>
    <row r="11" spans="1:11" ht="15" customHeight="1" x14ac:dyDescent="0.35">
      <c r="A11" s="11">
        <v>6</v>
      </c>
      <c r="B11" s="12" t="s">
        <v>28</v>
      </c>
      <c r="C11" s="12" t="s">
        <v>25</v>
      </c>
      <c r="D11" s="12" t="s">
        <v>23</v>
      </c>
      <c r="E11" s="12"/>
      <c r="F11" s="12"/>
      <c r="G11" s="12"/>
      <c r="H11" s="12"/>
      <c r="I11" s="12"/>
      <c r="J11" s="12"/>
      <c r="K11" s="12"/>
    </row>
    <row r="12" spans="1:11" ht="15" customHeight="1" x14ac:dyDescent="0.35">
      <c r="A12" s="11">
        <v>7</v>
      </c>
      <c r="B12" s="12" t="s">
        <v>29</v>
      </c>
      <c r="C12" s="12" t="s">
        <v>30</v>
      </c>
      <c r="D12" s="12" t="s">
        <v>31</v>
      </c>
      <c r="E12" s="12"/>
      <c r="F12" s="12"/>
      <c r="G12" s="12"/>
      <c r="H12" s="12"/>
      <c r="I12" s="12"/>
      <c r="J12" s="12"/>
      <c r="K12" s="12"/>
    </row>
    <row r="13" spans="1:11" ht="15" customHeight="1" x14ac:dyDescent="0.35">
      <c r="A13" s="11">
        <v>8</v>
      </c>
      <c r="B13" s="12" t="s">
        <v>32</v>
      </c>
      <c r="C13" s="12" t="s">
        <v>19</v>
      </c>
      <c r="D13" s="12" t="s">
        <v>20</v>
      </c>
      <c r="E13" s="12"/>
      <c r="F13" s="12"/>
      <c r="G13" s="12"/>
      <c r="H13" s="12"/>
      <c r="I13" s="12"/>
      <c r="J13" s="12"/>
      <c r="K13" s="12"/>
    </row>
    <row r="14" spans="1:11" ht="15" customHeight="1" x14ac:dyDescent="0.35">
      <c r="A14" s="11">
        <v>9</v>
      </c>
      <c r="B14" s="12" t="s">
        <v>33</v>
      </c>
      <c r="C14" s="12" t="s">
        <v>16</v>
      </c>
      <c r="D14" s="12" t="s">
        <v>34</v>
      </c>
      <c r="E14" s="12"/>
      <c r="F14" s="12"/>
      <c r="G14" s="12"/>
      <c r="H14" s="12"/>
      <c r="I14" s="12"/>
      <c r="J14" s="12"/>
      <c r="K14" s="12"/>
    </row>
    <row r="15" spans="1:11" ht="15" customHeight="1" x14ac:dyDescent="0.35">
      <c r="A15" s="11">
        <v>10</v>
      </c>
      <c r="B15" s="12" t="s">
        <v>35</v>
      </c>
      <c r="C15" s="12" t="s">
        <v>16</v>
      </c>
      <c r="D15" s="12" t="s">
        <v>34</v>
      </c>
      <c r="E15" s="12"/>
      <c r="F15" s="12"/>
      <c r="G15" s="12"/>
      <c r="H15" s="12"/>
      <c r="I15" s="12"/>
      <c r="J15" s="12"/>
      <c r="K15" s="12"/>
    </row>
    <row r="17" spans="1:11" ht="21.75" customHeight="1" x14ac:dyDescent="0.35">
      <c r="A17" s="3" t="s">
        <v>36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30" customHeight="1" x14ac:dyDescent="0.35">
      <c r="A18" s="9" t="s">
        <v>4</v>
      </c>
      <c r="B18" s="9" t="s">
        <v>5</v>
      </c>
      <c r="C18" s="9" t="s">
        <v>6</v>
      </c>
      <c r="D18" s="9" t="s">
        <v>7</v>
      </c>
      <c r="E18" s="10" t="s">
        <v>8</v>
      </c>
      <c r="F18" s="10" t="s">
        <v>9</v>
      </c>
      <c r="G18" s="10" t="s">
        <v>10</v>
      </c>
      <c r="H18" s="10" t="s">
        <v>11</v>
      </c>
      <c r="I18" s="10" t="s">
        <v>12</v>
      </c>
      <c r="J18" s="10" t="s">
        <v>13</v>
      </c>
      <c r="K18" s="9" t="s">
        <v>14</v>
      </c>
    </row>
    <row r="19" spans="1:11" ht="15" customHeight="1" x14ac:dyDescent="0.35">
      <c r="A19" s="11" t="s">
        <v>37</v>
      </c>
      <c r="B19" s="12" t="s">
        <v>38</v>
      </c>
      <c r="C19" s="12" t="s">
        <v>30</v>
      </c>
      <c r="D19" s="12" t="s">
        <v>39</v>
      </c>
      <c r="E19" s="12"/>
      <c r="F19" s="12"/>
      <c r="G19" s="12"/>
      <c r="H19" s="12"/>
      <c r="I19" s="12"/>
      <c r="J19" s="12"/>
      <c r="K19" s="12"/>
    </row>
    <row r="20" spans="1:11" ht="15" customHeight="1" x14ac:dyDescent="0.35">
      <c r="A20" s="11" t="s">
        <v>40</v>
      </c>
      <c r="B20" s="12" t="s">
        <v>41</v>
      </c>
      <c r="C20" s="12" t="s">
        <v>30</v>
      </c>
      <c r="D20" s="12" t="s">
        <v>42</v>
      </c>
      <c r="E20" s="12"/>
      <c r="F20" s="12"/>
      <c r="G20" s="12"/>
      <c r="H20" s="12"/>
      <c r="I20" s="12"/>
      <c r="J20" s="12"/>
      <c r="K20" s="12"/>
    </row>
    <row r="21" spans="1:11" ht="15" customHeight="1" x14ac:dyDescent="0.35">
      <c r="A21" s="11" t="s">
        <v>43</v>
      </c>
      <c r="B21" s="12" t="s">
        <v>44</v>
      </c>
      <c r="C21" s="12" t="s">
        <v>45</v>
      </c>
      <c r="D21" s="12" t="s">
        <v>46</v>
      </c>
      <c r="E21" s="12"/>
      <c r="F21" s="12"/>
      <c r="G21" s="12"/>
      <c r="H21" s="12"/>
      <c r="I21" s="12"/>
      <c r="J21" s="12"/>
      <c r="K21" s="12"/>
    </row>
    <row r="22" spans="1:11" ht="15" customHeight="1" x14ac:dyDescent="0.35">
      <c r="A22" s="11" t="s">
        <v>47</v>
      </c>
      <c r="B22" s="12" t="s">
        <v>48</v>
      </c>
      <c r="C22" s="12" t="s">
        <v>49</v>
      </c>
      <c r="D22" s="12" t="s">
        <v>50</v>
      </c>
      <c r="E22" s="12"/>
      <c r="F22" s="12"/>
      <c r="G22" s="12"/>
      <c r="H22" s="12"/>
      <c r="I22" s="12"/>
      <c r="J22" s="12"/>
      <c r="K22" s="12"/>
    </row>
    <row r="23" spans="1:11" ht="15" customHeight="1" x14ac:dyDescent="0.35">
      <c r="A23" s="11" t="s">
        <v>51</v>
      </c>
      <c r="B23" s="12" t="s">
        <v>52</v>
      </c>
      <c r="C23" s="12" t="s">
        <v>49</v>
      </c>
      <c r="D23" s="12" t="s">
        <v>50</v>
      </c>
      <c r="E23" s="12"/>
      <c r="F23" s="12"/>
      <c r="G23" s="12"/>
      <c r="H23" s="12"/>
      <c r="I23" s="12"/>
      <c r="J23" s="12"/>
      <c r="K23" s="12"/>
    </row>
    <row r="25" spans="1:11" ht="21.75" customHeight="1" x14ac:dyDescent="0.35">
      <c r="A25" s="3" t="s">
        <v>53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30" customHeight="1" x14ac:dyDescent="0.35">
      <c r="A26" s="9" t="s">
        <v>4</v>
      </c>
      <c r="B26" s="9" t="s">
        <v>54</v>
      </c>
      <c r="C26" s="9" t="s">
        <v>55</v>
      </c>
      <c r="D26" s="9" t="s">
        <v>56</v>
      </c>
      <c r="E26" s="10" t="s">
        <v>8</v>
      </c>
      <c r="F26" s="10" t="s">
        <v>9</v>
      </c>
      <c r="G26" s="10" t="s">
        <v>10</v>
      </c>
      <c r="H26" s="10" t="s">
        <v>11</v>
      </c>
      <c r="I26" s="10" t="s">
        <v>12</v>
      </c>
      <c r="J26" s="10" t="s">
        <v>13</v>
      </c>
      <c r="K26" s="9" t="s">
        <v>14</v>
      </c>
    </row>
    <row r="27" spans="1:11" ht="21.75" customHeight="1" x14ac:dyDescent="0.35">
      <c r="A27" s="11" t="s">
        <v>57</v>
      </c>
      <c r="B27" s="12" t="s">
        <v>58</v>
      </c>
      <c r="C27" s="12" t="s">
        <v>59</v>
      </c>
      <c r="D27" s="12" t="s">
        <v>60</v>
      </c>
      <c r="E27" s="12"/>
      <c r="F27" s="12"/>
      <c r="G27" s="12"/>
      <c r="H27" s="12"/>
      <c r="I27" s="12"/>
      <c r="J27" s="12"/>
      <c r="K27" s="12"/>
    </row>
    <row r="28" spans="1:11" ht="21.75" customHeight="1" x14ac:dyDescent="0.35">
      <c r="A28" s="11" t="s">
        <v>61</v>
      </c>
      <c r="B28" s="12" t="s">
        <v>62</v>
      </c>
      <c r="C28" s="12" t="s">
        <v>63</v>
      </c>
      <c r="D28" s="12" t="s">
        <v>64</v>
      </c>
      <c r="E28" s="12"/>
      <c r="F28" s="12"/>
      <c r="G28" s="12"/>
      <c r="H28" s="12"/>
      <c r="I28" s="12"/>
      <c r="J28" s="12"/>
      <c r="K28" s="12"/>
    </row>
    <row r="29" spans="1:11" ht="21.75" customHeight="1" x14ac:dyDescent="0.35">
      <c r="A29" s="11" t="s">
        <v>65</v>
      </c>
      <c r="B29" s="12" t="s">
        <v>66</v>
      </c>
      <c r="C29" s="12" t="s">
        <v>67</v>
      </c>
      <c r="D29" s="12" t="s">
        <v>68</v>
      </c>
      <c r="E29" s="12"/>
      <c r="F29" s="12"/>
      <c r="G29" s="12"/>
      <c r="H29" s="12"/>
      <c r="I29" s="12"/>
      <c r="J29" s="12"/>
      <c r="K29" s="12"/>
    </row>
    <row r="30" spans="1:11" ht="21.75" customHeight="1" x14ac:dyDescent="0.35">
      <c r="A30" s="11" t="s">
        <v>69</v>
      </c>
      <c r="B30" s="12" t="s">
        <v>70</v>
      </c>
      <c r="C30" s="12" t="s">
        <v>71</v>
      </c>
      <c r="D30" s="12" t="s">
        <v>72</v>
      </c>
      <c r="E30" s="12"/>
      <c r="F30" s="12"/>
      <c r="G30" s="12"/>
      <c r="H30" s="12"/>
      <c r="I30" s="12"/>
      <c r="J30" s="12"/>
      <c r="K30" s="12"/>
    </row>
    <row r="31" spans="1:11" ht="21.75" customHeight="1" x14ac:dyDescent="0.35">
      <c r="A31" s="11" t="s">
        <v>73</v>
      </c>
      <c r="B31" s="12" t="s">
        <v>74</v>
      </c>
      <c r="C31" s="12" t="s">
        <v>75</v>
      </c>
      <c r="D31" s="12" t="s">
        <v>76</v>
      </c>
      <c r="E31" s="12"/>
      <c r="F31" s="12"/>
      <c r="G31" s="12"/>
      <c r="H31" s="12"/>
      <c r="I31" s="12"/>
      <c r="J31" s="12"/>
      <c r="K31" s="12"/>
    </row>
  </sheetData>
  <mergeCells count="7">
    <mergeCell ref="A17:K17"/>
    <mergeCell ref="A25:K25"/>
    <mergeCell ref="A1:K1"/>
    <mergeCell ref="A2:D2"/>
    <mergeCell ref="E2:F2"/>
    <mergeCell ref="G2:K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selection activeCell="C13" sqref="C13"/>
    </sheetView>
  </sheetViews>
  <sheetFormatPr baseColWidth="10" defaultColWidth="8.6328125" defaultRowHeight="14.5" x14ac:dyDescent="0.35"/>
  <cols>
    <col min="1" max="1" width="18" style="8" customWidth="1"/>
    <col min="2" max="2" width="16" style="8" customWidth="1"/>
    <col min="3" max="3" width="48" style="8" customWidth="1"/>
    <col min="4" max="4" width="20" style="8" customWidth="1"/>
    <col min="5" max="5" width="16" style="8" customWidth="1"/>
    <col min="6" max="6" width="40" style="8" customWidth="1"/>
  </cols>
  <sheetData>
    <row r="1" spans="1:6" ht="39.75" customHeight="1" x14ac:dyDescent="0.35">
      <c r="A1" s="2" t="s">
        <v>111</v>
      </c>
      <c r="B1" s="2"/>
      <c r="C1" s="2"/>
      <c r="D1" s="2"/>
      <c r="E1" s="2"/>
      <c r="F1" s="2"/>
    </row>
    <row r="3" spans="1:6" ht="15" customHeight="1" x14ac:dyDescent="0.35">
      <c r="A3" s="13" t="s">
        <v>77</v>
      </c>
      <c r="B3" s="13" t="s">
        <v>78</v>
      </c>
      <c r="C3" s="13" t="s">
        <v>79</v>
      </c>
      <c r="D3" s="13" t="s">
        <v>80</v>
      </c>
      <c r="E3" s="13" t="s">
        <v>81</v>
      </c>
      <c r="F3" s="13" t="s">
        <v>82</v>
      </c>
    </row>
    <row r="4" spans="1:6" ht="15" customHeight="1" x14ac:dyDescent="0.35">
      <c r="A4" s="14" t="s">
        <v>83</v>
      </c>
      <c r="B4" s="15" t="s">
        <v>84</v>
      </c>
      <c r="C4" s="15" t="s">
        <v>112</v>
      </c>
      <c r="D4" s="15" t="s">
        <v>113</v>
      </c>
      <c r="E4" s="15" t="s">
        <v>86</v>
      </c>
      <c r="F4" s="15" t="s">
        <v>87</v>
      </c>
    </row>
    <row r="5" spans="1:6" ht="15" customHeight="1" x14ac:dyDescent="0.35">
      <c r="A5" s="14"/>
      <c r="B5" s="15" t="s">
        <v>84</v>
      </c>
      <c r="C5" s="15" t="s">
        <v>88</v>
      </c>
      <c r="D5" s="15" t="s">
        <v>113</v>
      </c>
      <c r="E5" s="15" t="s">
        <v>86</v>
      </c>
      <c r="F5" s="15" t="s">
        <v>87</v>
      </c>
    </row>
    <row r="6" spans="1:6" ht="15" customHeight="1" x14ac:dyDescent="0.35">
      <c r="A6" s="14" t="s">
        <v>89</v>
      </c>
      <c r="B6" s="15" t="s">
        <v>90</v>
      </c>
      <c r="C6" s="15" t="s">
        <v>91</v>
      </c>
      <c r="D6" s="15" t="s">
        <v>114</v>
      </c>
      <c r="E6" s="15" t="s">
        <v>86</v>
      </c>
      <c r="F6" s="15" t="s">
        <v>87</v>
      </c>
    </row>
    <row r="7" spans="1:6" ht="15" customHeight="1" x14ac:dyDescent="0.35">
      <c r="A7" s="14"/>
      <c r="B7" s="15" t="s">
        <v>90</v>
      </c>
      <c r="C7" s="15" t="s">
        <v>112</v>
      </c>
      <c r="D7" s="15" t="s">
        <v>113</v>
      </c>
      <c r="E7" s="15" t="s">
        <v>86</v>
      </c>
      <c r="F7" s="15" t="s">
        <v>87</v>
      </c>
    </row>
    <row r="8" spans="1:6" ht="15" customHeight="1" x14ac:dyDescent="0.35">
      <c r="A8" s="14" t="s">
        <v>92</v>
      </c>
      <c r="B8" s="15" t="s">
        <v>93</v>
      </c>
      <c r="C8" s="15" t="s">
        <v>94</v>
      </c>
      <c r="D8" s="15" t="s">
        <v>113</v>
      </c>
      <c r="E8" s="15" t="s">
        <v>86</v>
      </c>
      <c r="F8" s="15" t="s">
        <v>87</v>
      </c>
    </row>
    <row r="9" spans="1:6" ht="15" customHeight="1" x14ac:dyDescent="0.35">
      <c r="A9" s="14"/>
      <c r="B9" s="15" t="s">
        <v>93</v>
      </c>
      <c r="C9" s="15" t="s">
        <v>24</v>
      </c>
      <c r="D9" s="15" t="s">
        <v>115</v>
      </c>
      <c r="E9" s="15" t="s">
        <v>86</v>
      </c>
      <c r="F9" s="15" t="s">
        <v>87</v>
      </c>
    </row>
    <row r="10" spans="1:6" ht="15" customHeight="1" x14ac:dyDescent="0.35">
      <c r="A10" s="14"/>
      <c r="B10" s="15" t="s">
        <v>93</v>
      </c>
      <c r="C10" s="15" t="s">
        <v>112</v>
      </c>
      <c r="D10" s="15" t="s">
        <v>113</v>
      </c>
      <c r="E10" s="15" t="s">
        <v>86</v>
      </c>
      <c r="F10" s="15" t="s">
        <v>87</v>
      </c>
    </row>
    <row r="11" spans="1:6" ht="15" customHeight="1" x14ac:dyDescent="0.35">
      <c r="A11" s="14" t="s">
        <v>95</v>
      </c>
      <c r="B11" s="15" t="s">
        <v>96</v>
      </c>
      <c r="C11" s="15" t="s">
        <v>97</v>
      </c>
      <c r="D11" s="15" t="s">
        <v>114</v>
      </c>
      <c r="E11" s="15" t="s">
        <v>86</v>
      </c>
      <c r="F11" s="15" t="s">
        <v>87</v>
      </c>
    </row>
    <row r="12" spans="1:6" ht="15" customHeight="1" x14ac:dyDescent="0.35">
      <c r="A12" s="14"/>
      <c r="B12" s="15" t="s">
        <v>96</v>
      </c>
      <c r="C12" s="15" t="s">
        <v>112</v>
      </c>
      <c r="D12" s="15" t="s">
        <v>113</v>
      </c>
      <c r="E12" s="15" t="s">
        <v>86</v>
      </c>
      <c r="F12" s="15" t="s">
        <v>87</v>
      </c>
    </row>
    <row r="13" spans="1:6" ht="15" customHeight="1" x14ac:dyDescent="0.35">
      <c r="A13" s="14" t="s">
        <v>98</v>
      </c>
      <c r="B13" s="15" t="s">
        <v>99</v>
      </c>
      <c r="C13" s="15" t="s">
        <v>112</v>
      </c>
      <c r="D13" s="15" t="s">
        <v>113</v>
      </c>
      <c r="E13" s="15" t="s">
        <v>86</v>
      </c>
      <c r="F13" s="15" t="s">
        <v>87</v>
      </c>
    </row>
    <row r="14" spans="1:6" ht="15" customHeight="1" x14ac:dyDescent="0.35">
      <c r="A14" s="14" t="s">
        <v>100</v>
      </c>
      <c r="B14" s="15" t="s">
        <v>101</v>
      </c>
      <c r="C14" s="15" t="s">
        <v>102</v>
      </c>
      <c r="D14" s="15" t="s">
        <v>113</v>
      </c>
      <c r="E14" s="15" t="s">
        <v>86</v>
      </c>
      <c r="F14" s="15" t="s">
        <v>87</v>
      </c>
    </row>
    <row r="15" spans="1:6" ht="15" customHeight="1" x14ac:dyDescent="0.35">
      <c r="A15" s="14"/>
      <c r="B15" s="15" t="s">
        <v>101</v>
      </c>
      <c r="C15" s="15" t="s">
        <v>24</v>
      </c>
      <c r="D15" s="15" t="s">
        <v>115</v>
      </c>
      <c r="E15" s="15" t="s">
        <v>86</v>
      </c>
      <c r="F15" s="15" t="s">
        <v>87</v>
      </c>
    </row>
    <row r="16" spans="1:6" ht="15" customHeight="1" x14ac:dyDescent="0.35">
      <c r="A16" s="14"/>
      <c r="B16" s="15" t="s">
        <v>101</v>
      </c>
      <c r="C16" s="15" t="s">
        <v>103</v>
      </c>
      <c r="D16" s="15" t="s">
        <v>114</v>
      </c>
      <c r="E16" s="15" t="s">
        <v>86</v>
      </c>
      <c r="F16" s="15" t="s">
        <v>87</v>
      </c>
    </row>
    <row r="17" spans="1:6" ht="15" customHeight="1" x14ac:dyDescent="0.35">
      <c r="A17" s="14"/>
      <c r="B17" s="15" t="s">
        <v>117</v>
      </c>
      <c r="C17" s="15" t="s">
        <v>116</v>
      </c>
      <c r="D17" s="15" t="s">
        <v>113</v>
      </c>
      <c r="E17" s="15" t="s">
        <v>86</v>
      </c>
      <c r="F17" s="15" t="s">
        <v>87</v>
      </c>
    </row>
    <row r="18" spans="1:6" ht="15" customHeight="1" x14ac:dyDescent="0.35">
      <c r="A18" s="14"/>
      <c r="B18" s="15" t="s">
        <v>117</v>
      </c>
      <c r="C18" s="15" t="s">
        <v>118</v>
      </c>
      <c r="D18" s="15" t="s">
        <v>113</v>
      </c>
      <c r="E18" s="15" t="s">
        <v>86</v>
      </c>
      <c r="F18" s="15" t="s">
        <v>87</v>
      </c>
    </row>
    <row r="19" spans="1:6" ht="15" customHeight="1" x14ac:dyDescent="0.35">
      <c r="A19" s="14"/>
      <c r="B19" s="15" t="s">
        <v>101</v>
      </c>
      <c r="C19" s="15" t="s">
        <v>85</v>
      </c>
      <c r="D19" s="15" t="s">
        <v>113</v>
      </c>
      <c r="E19" s="15" t="s">
        <v>86</v>
      </c>
      <c r="F19" s="15" t="s">
        <v>87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selection activeCell="M9" sqref="M9"/>
    </sheetView>
  </sheetViews>
  <sheetFormatPr baseColWidth="10" defaultColWidth="8.6328125" defaultRowHeight="14.5" x14ac:dyDescent="0.35"/>
  <cols>
    <col min="1" max="1" width="8" style="8" customWidth="1"/>
    <col min="2" max="2" width="45" style="8" customWidth="1"/>
    <col min="3" max="3" width="14" style="8" customWidth="1"/>
    <col min="4" max="4" width="12" style="8" customWidth="1"/>
    <col min="5" max="10" width="8" style="8" customWidth="1"/>
    <col min="11" max="11" width="15" style="8" customWidth="1"/>
  </cols>
  <sheetData>
    <row r="1" spans="1:11" ht="39.75" customHeight="1" x14ac:dyDescent="0.35">
      <c r="A1" s="2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15" customHeight="1" x14ac:dyDescent="0.35">
      <c r="A3" s="16" t="s">
        <v>4</v>
      </c>
      <c r="B3" s="16" t="s">
        <v>5</v>
      </c>
      <c r="C3" s="16" t="s">
        <v>7</v>
      </c>
      <c r="D3" s="16" t="s">
        <v>104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105</v>
      </c>
    </row>
    <row r="4" spans="1:11" ht="15" customHeight="1" x14ac:dyDescent="0.35">
      <c r="A4" s="11">
        <v>1</v>
      </c>
      <c r="B4" s="12" t="s">
        <v>15</v>
      </c>
      <c r="C4" s="12">
        <v>0</v>
      </c>
      <c r="D4" s="12">
        <f t="shared" ref="D4:D15" si="0">SUM(E4:J4)</f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7" t="str">
        <f t="shared" ref="K4:K15" si="1">IF(C4=0,"N/A",D4/C4)</f>
        <v>N/A</v>
      </c>
    </row>
    <row r="5" spans="1:11" ht="15" customHeight="1" x14ac:dyDescent="0.35">
      <c r="A5" s="11">
        <v>2</v>
      </c>
      <c r="B5" s="12" t="s">
        <v>18</v>
      </c>
      <c r="C5" s="12">
        <v>1</v>
      </c>
      <c r="D5" s="12">
        <f t="shared" si="0"/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7">
        <f t="shared" si="1"/>
        <v>0</v>
      </c>
    </row>
    <row r="6" spans="1:11" ht="15" customHeight="1" x14ac:dyDescent="0.35">
      <c r="A6" s="11">
        <v>3</v>
      </c>
      <c r="B6" s="12" t="s">
        <v>21</v>
      </c>
      <c r="C6" s="12">
        <v>2</v>
      </c>
      <c r="D6" s="12">
        <f t="shared" si="0"/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7">
        <f t="shared" si="1"/>
        <v>0</v>
      </c>
    </row>
    <row r="7" spans="1:11" ht="15" customHeight="1" x14ac:dyDescent="0.35">
      <c r="A7" s="11">
        <v>4</v>
      </c>
      <c r="B7" s="12" t="s">
        <v>24</v>
      </c>
      <c r="C7" s="12">
        <v>2</v>
      </c>
      <c r="D7" s="12">
        <f t="shared" si="0"/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7">
        <f t="shared" si="1"/>
        <v>0</v>
      </c>
    </row>
    <row r="8" spans="1:11" ht="15" customHeight="1" x14ac:dyDescent="0.35">
      <c r="A8" s="11">
        <v>5</v>
      </c>
      <c r="B8" s="12" t="s">
        <v>26</v>
      </c>
      <c r="C8" s="12">
        <v>3</v>
      </c>
      <c r="D8" s="12">
        <f t="shared" si="0"/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7">
        <f t="shared" si="1"/>
        <v>0</v>
      </c>
    </row>
    <row r="9" spans="1:11" ht="15" customHeight="1" x14ac:dyDescent="0.35">
      <c r="A9" s="11">
        <v>6</v>
      </c>
      <c r="B9" s="12" t="s">
        <v>28</v>
      </c>
      <c r="C9" s="12">
        <v>2</v>
      </c>
      <c r="D9" s="12">
        <f t="shared" si="0"/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7">
        <f t="shared" si="1"/>
        <v>0</v>
      </c>
    </row>
    <row r="10" spans="1:11" ht="15" customHeight="1" x14ac:dyDescent="0.35">
      <c r="A10" s="11">
        <v>8</v>
      </c>
      <c r="B10" s="12" t="s">
        <v>32</v>
      </c>
      <c r="C10" s="12">
        <v>1</v>
      </c>
      <c r="D10" s="12">
        <f t="shared" si="0"/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7">
        <f t="shared" si="1"/>
        <v>0</v>
      </c>
    </row>
    <row r="11" spans="1:11" ht="15" customHeight="1" x14ac:dyDescent="0.35">
      <c r="A11" s="11">
        <v>9</v>
      </c>
      <c r="B11" s="12" t="s">
        <v>33</v>
      </c>
      <c r="C11" s="12">
        <v>0</v>
      </c>
      <c r="D11" s="12">
        <f t="shared" si="0"/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7" t="str">
        <f t="shared" si="1"/>
        <v>N/A</v>
      </c>
    </row>
    <row r="12" spans="1:11" ht="15" customHeight="1" x14ac:dyDescent="0.35">
      <c r="A12" s="11">
        <v>10</v>
      </c>
      <c r="B12" s="12" t="s">
        <v>35</v>
      </c>
      <c r="C12" s="12">
        <v>0</v>
      </c>
      <c r="D12" s="12">
        <f t="shared" si="0"/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7" t="str">
        <f t="shared" si="1"/>
        <v>N/A</v>
      </c>
    </row>
    <row r="13" spans="1:11" ht="15" customHeight="1" x14ac:dyDescent="0.35">
      <c r="A13" s="11" t="s">
        <v>43</v>
      </c>
      <c r="B13" s="12" t="s">
        <v>106</v>
      </c>
      <c r="C13" s="12">
        <v>24</v>
      </c>
      <c r="D13" s="12">
        <f t="shared" si="0"/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7">
        <f t="shared" si="1"/>
        <v>0</v>
      </c>
    </row>
    <row r="14" spans="1:11" ht="15" customHeight="1" x14ac:dyDescent="0.35">
      <c r="A14" s="11" t="s">
        <v>47</v>
      </c>
      <c r="B14" s="12" t="s">
        <v>107</v>
      </c>
      <c r="C14" s="12">
        <v>6</v>
      </c>
      <c r="D14" s="12">
        <f t="shared" si="0"/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7">
        <f t="shared" si="1"/>
        <v>0</v>
      </c>
    </row>
    <row r="15" spans="1:11" ht="15" customHeight="1" x14ac:dyDescent="0.35">
      <c r="A15" s="11" t="s">
        <v>51</v>
      </c>
      <c r="B15" s="12" t="s">
        <v>108</v>
      </c>
      <c r="C15" s="12">
        <v>6</v>
      </c>
      <c r="D15" s="12">
        <f t="shared" si="0"/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7">
        <f t="shared" si="1"/>
        <v>0</v>
      </c>
    </row>
    <row r="17" spans="1:11" ht="21.75" customHeight="1" x14ac:dyDescent="0.35">
      <c r="A17" s="1" t="s">
        <v>109</v>
      </c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2"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 S1</vt:lpstr>
      <vt:lpstr>Calendrier Échéances S1</vt:lpstr>
      <vt:lpstr>Suivi Mensuel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 FOFANA</cp:lastModifiedBy>
  <cp:revision>0</cp:revision>
  <dcterms:created xsi:type="dcterms:W3CDTF">2026-07-03T11:44:31Z</dcterms:created>
  <dcterms:modified xsi:type="dcterms:W3CDTF">2026-07-03T16:33:42Z</dcterms:modified>
  <dc:language>en-US</dc:language>
</cp:coreProperties>
</file>